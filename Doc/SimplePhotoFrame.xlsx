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ra\Documents\github\HRA_product\CQ_GOWIN_FPGA_Vol6\Doc\"/>
    </mc:Choice>
  </mc:AlternateContent>
  <xr:revisionPtr revIDLastSave="0" documentId="13_ncr:1_{26E67554-2A9D-418F-831E-70B3DFEBF194}" xr6:coauthVersionLast="47" xr6:coauthVersionMax="47" xr10:uidLastSave="{00000000-0000-0000-0000-000000000000}"/>
  <bookViews>
    <workbookView xWindow="-105" yWindow="0" windowWidth="14610" windowHeight="17385" activeTab="2" xr2:uid="{00000000-000D-0000-FFFF-FFFF00000000}"/>
  </bookViews>
  <sheets>
    <sheet name="TangNano20K(LCD Controller)" sheetId="4" r:id="rId1"/>
    <sheet name="RasPiPico2W" sheetId="8" r:id="rId2"/>
    <sheet name="DisplaySign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9" l="1"/>
  <c r="D7" i="9"/>
  <c r="D16" i="9" l="1"/>
  <c r="D17" i="9" s="1"/>
</calcChain>
</file>

<file path=xl/sharedStrings.xml><?xml version="1.0" encoding="utf-8"?>
<sst xmlns="http://schemas.openxmlformats.org/spreadsheetml/2006/main" count="288" uniqueCount="161">
  <si>
    <t>#</t>
    <phoneticPr fontId="1"/>
  </si>
  <si>
    <t>Memo</t>
    <phoneticPr fontId="1"/>
  </si>
  <si>
    <t>Dir</t>
    <phoneticPr fontId="1"/>
  </si>
  <si>
    <t>GND</t>
    <phoneticPr fontId="1"/>
  </si>
  <si>
    <t>-</t>
    <phoneticPr fontId="1"/>
  </si>
  <si>
    <t>GCLKT</t>
    <phoneticPr fontId="1"/>
  </si>
  <si>
    <t>in</t>
    <phoneticPr fontId="1"/>
  </si>
  <si>
    <t>out</t>
    <phoneticPr fontId="1"/>
  </si>
  <si>
    <t>GCLKC</t>
    <phoneticPr fontId="1"/>
  </si>
  <si>
    <t>TangNano20K GW2AR-LV18QN88C8/I7 (Arora)</t>
    <phoneticPr fontId="1"/>
  </si>
  <si>
    <t>Pin</t>
    <phoneticPr fontId="1"/>
  </si>
  <si>
    <t>Bank</t>
    <phoneticPr fontId="1"/>
  </si>
  <si>
    <t xml:space="preserve">Assign </t>
    <phoneticPr fontId="1"/>
  </si>
  <si>
    <t>Pin73</t>
    <phoneticPr fontId="1"/>
  </si>
  <si>
    <t>5V</t>
    <phoneticPr fontId="1"/>
  </si>
  <si>
    <t>Pin74</t>
    <phoneticPr fontId="1"/>
  </si>
  <si>
    <t>Pin75</t>
    <phoneticPr fontId="1"/>
  </si>
  <si>
    <t>Pin76</t>
    <phoneticPr fontId="1"/>
  </si>
  <si>
    <t>Pin85</t>
    <phoneticPr fontId="1"/>
  </si>
  <si>
    <t>Pin80</t>
    <phoneticPr fontId="1"/>
  </si>
  <si>
    <t>Pin77</t>
    <phoneticPr fontId="1"/>
  </si>
  <si>
    <t>Pin42</t>
    <phoneticPr fontId="1"/>
  </si>
  <si>
    <t>Pin15</t>
    <phoneticPr fontId="1"/>
  </si>
  <si>
    <t>LED</t>
    <phoneticPr fontId="1"/>
  </si>
  <si>
    <t>Pin41</t>
    <phoneticPr fontId="1"/>
  </si>
  <si>
    <t>Pin16</t>
    <phoneticPr fontId="1"/>
  </si>
  <si>
    <t>Pin56</t>
    <phoneticPr fontId="1"/>
  </si>
  <si>
    <t>Pin27</t>
    <phoneticPr fontId="1"/>
  </si>
  <si>
    <t>Pin54</t>
    <phoneticPr fontId="1"/>
  </si>
  <si>
    <t>Pin28</t>
    <phoneticPr fontId="1"/>
  </si>
  <si>
    <t>Pin51</t>
    <phoneticPr fontId="1"/>
  </si>
  <si>
    <t>Pin25</t>
    <phoneticPr fontId="1"/>
  </si>
  <si>
    <t>Pin48</t>
    <phoneticPr fontId="1"/>
  </si>
  <si>
    <t>Pin26</t>
    <phoneticPr fontId="1"/>
  </si>
  <si>
    <t>Pin55</t>
    <phoneticPr fontId="1"/>
  </si>
  <si>
    <t>Pin29</t>
    <phoneticPr fontId="1"/>
  </si>
  <si>
    <t>Pin49</t>
    <phoneticPr fontId="1"/>
  </si>
  <si>
    <t>Pin30</t>
    <phoneticPr fontId="1"/>
  </si>
  <si>
    <t>Pin86</t>
    <phoneticPr fontId="1"/>
  </si>
  <si>
    <t>Pin31</t>
    <phoneticPr fontId="1"/>
  </si>
  <si>
    <t>Pin79</t>
    <phoneticPr fontId="1"/>
  </si>
  <si>
    <t>WS2812(LED)</t>
    <phoneticPr fontId="1"/>
  </si>
  <si>
    <t>Pin17</t>
    <phoneticPr fontId="1"/>
  </si>
  <si>
    <t>Pin20</t>
    <phoneticPr fontId="1"/>
  </si>
  <si>
    <t>3V3</t>
    <phoneticPr fontId="1"/>
  </si>
  <si>
    <t>Pin19</t>
    <phoneticPr fontId="1"/>
  </si>
  <si>
    <t>Pin72</t>
    <phoneticPr fontId="1"/>
  </si>
  <si>
    <t>Pin18</t>
    <phoneticPr fontId="1"/>
  </si>
  <si>
    <t>Pin71</t>
    <phoneticPr fontId="1"/>
  </si>
  <si>
    <t>Pin53</t>
    <phoneticPr fontId="1"/>
  </si>
  <si>
    <t>Pin52</t>
    <phoneticPr fontId="1"/>
  </si>
  <si>
    <t>マイコン通信用</t>
    <rPh sb="4" eb="6">
      <t>ツウシン</t>
    </rPh>
    <rPh sb="6" eb="7">
      <t>ヨウ</t>
    </rPh>
    <phoneticPr fontId="1"/>
  </si>
  <si>
    <t>EDID_CLK</t>
    <phoneticPr fontId="1"/>
  </si>
  <si>
    <t>EDID_DAT</t>
    <phoneticPr fontId="1"/>
  </si>
  <si>
    <t>I2S_LRCK</t>
    <phoneticPr fontId="1"/>
  </si>
  <si>
    <t>PA_EN</t>
    <phoneticPr fontId="1"/>
  </si>
  <si>
    <t>I2S_DIN</t>
    <phoneticPr fontId="1"/>
  </si>
  <si>
    <t>I2S_BCLK</t>
    <phoneticPr fontId="1"/>
  </si>
  <si>
    <t>AD I2S</t>
    <phoneticPr fontId="1"/>
  </si>
  <si>
    <t>nc</t>
    <phoneticPr fontId="1"/>
  </si>
  <si>
    <t>LCD</t>
    <phoneticPr fontId="1"/>
  </si>
  <si>
    <t>WS2812</t>
    <phoneticPr fontId="1"/>
  </si>
  <si>
    <t>GP0</t>
    <phoneticPr fontId="1"/>
  </si>
  <si>
    <t>GP1</t>
    <phoneticPr fontId="1"/>
  </si>
  <si>
    <t>GP2</t>
    <phoneticPr fontId="1"/>
  </si>
  <si>
    <t>GP3</t>
    <phoneticPr fontId="1"/>
  </si>
  <si>
    <t>GP4</t>
    <phoneticPr fontId="1"/>
  </si>
  <si>
    <t>GP5</t>
    <phoneticPr fontId="1"/>
  </si>
  <si>
    <t>GP6</t>
    <phoneticPr fontId="1"/>
  </si>
  <si>
    <t>GP7</t>
    <phoneticPr fontId="1"/>
  </si>
  <si>
    <t>GP8</t>
    <phoneticPr fontId="1"/>
  </si>
  <si>
    <t>GP9</t>
    <phoneticPr fontId="1"/>
  </si>
  <si>
    <t>GP10</t>
    <phoneticPr fontId="1"/>
  </si>
  <si>
    <t>GP11</t>
    <phoneticPr fontId="1"/>
  </si>
  <si>
    <t>GP12</t>
    <phoneticPr fontId="1"/>
  </si>
  <si>
    <t>GP13</t>
    <phoneticPr fontId="1"/>
  </si>
  <si>
    <t>GP14</t>
    <phoneticPr fontId="1"/>
  </si>
  <si>
    <t>GP15</t>
    <phoneticPr fontId="1"/>
  </si>
  <si>
    <t>VBUS</t>
    <phoneticPr fontId="1"/>
  </si>
  <si>
    <t>VSYS</t>
    <phoneticPr fontId="1"/>
  </si>
  <si>
    <t>3V3_EN</t>
    <phoneticPr fontId="1"/>
  </si>
  <si>
    <t>3V3(OUT)</t>
    <phoneticPr fontId="1"/>
  </si>
  <si>
    <t>ADC_REF</t>
    <phoneticPr fontId="1"/>
  </si>
  <si>
    <t>GP28</t>
    <phoneticPr fontId="1"/>
  </si>
  <si>
    <t>GP27</t>
    <phoneticPr fontId="1"/>
  </si>
  <si>
    <t>GP26</t>
    <phoneticPr fontId="1"/>
  </si>
  <si>
    <t>RUN</t>
    <phoneticPr fontId="1"/>
  </si>
  <si>
    <t>GP22</t>
    <phoneticPr fontId="1"/>
  </si>
  <si>
    <t>GP21</t>
    <phoneticPr fontId="1"/>
  </si>
  <si>
    <t>GP20</t>
    <phoneticPr fontId="1"/>
  </si>
  <si>
    <t>GP19</t>
    <phoneticPr fontId="1"/>
  </si>
  <si>
    <t>GP18</t>
    <phoneticPr fontId="1"/>
  </si>
  <si>
    <t>GP17</t>
    <phoneticPr fontId="1"/>
  </si>
  <si>
    <t>GP16</t>
    <phoneticPr fontId="1"/>
  </si>
  <si>
    <t>SPI0_RX</t>
    <phoneticPr fontId="1"/>
  </si>
  <si>
    <t>SPI0_CSn</t>
    <phoneticPr fontId="1"/>
  </si>
  <si>
    <t>SPI0_SCK</t>
    <phoneticPr fontId="1"/>
  </si>
  <si>
    <t>SPI0_TX</t>
    <phoneticPr fontId="1"/>
  </si>
  <si>
    <t>Raspberry Pi Pico2W</t>
    <phoneticPr fontId="1"/>
  </si>
  <si>
    <t>fpga_spi_intr</t>
    <phoneticPr fontId="1"/>
  </si>
  <si>
    <t>fpga_spi_miso</t>
    <phoneticPr fontId="1"/>
  </si>
  <si>
    <t>fpga_spi_cs_n</t>
    <phoneticPr fontId="1"/>
  </si>
  <si>
    <t>fpga_spi_clk</t>
    <phoneticPr fontId="1"/>
  </si>
  <si>
    <t>fpga_spi_mosi</t>
    <phoneticPr fontId="1"/>
  </si>
  <si>
    <t>SPI1_RX</t>
    <phoneticPr fontId="1"/>
  </si>
  <si>
    <t>SPI1_CSn</t>
    <phoneticPr fontId="1"/>
  </si>
  <si>
    <t>SPI1_SCK</t>
    <phoneticPr fontId="1"/>
  </si>
  <si>
    <t>SPI1_TX</t>
    <phoneticPr fontId="1"/>
  </si>
  <si>
    <t>sd_spi_miso</t>
    <phoneticPr fontId="1"/>
  </si>
  <si>
    <t>sd_spi_cs_n</t>
    <phoneticPr fontId="1"/>
  </si>
  <si>
    <t>sd_spi_sck</t>
    <phoneticPr fontId="1"/>
  </si>
  <si>
    <t>sd_spi_mosi</t>
    <phoneticPr fontId="1"/>
  </si>
  <si>
    <t>マイコン通信用</t>
    <phoneticPr fontId="1"/>
  </si>
  <si>
    <t>SDA</t>
    <phoneticPr fontId="1"/>
  </si>
  <si>
    <t>SCL</t>
    <phoneticPr fontId="1"/>
  </si>
  <si>
    <t>groove</t>
    <phoneticPr fontId="1"/>
  </si>
  <si>
    <t>ST-LINK</t>
    <phoneticPr fontId="1"/>
  </si>
  <si>
    <t>SPI</t>
    <phoneticPr fontId="1"/>
  </si>
  <si>
    <t>LED0</t>
    <phoneticPr fontId="1"/>
  </si>
  <si>
    <t>LED1</t>
    <phoneticPr fontId="1"/>
  </si>
  <si>
    <t>LED2</t>
    <phoneticPr fontId="1"/>
  </si>
  <si>
    <t>LED3</t>
    <phoneticPr fontId="1"/>
  </si>
  <si>
    <t>LED4</t>
    <phoneticPr fontId="1"/>
  </si>
  <si>
    <t>LED5</t>
    <phoneticPr fontId="1"/>
  </si>
  <si>
    <t>LED6</t>
    <phoneticPr fontId="1"/>
  </si>
  <si>
    <t>LED7</t>
    <phoneticPr fontId="1"/>
  </si>
  <si>
    <t>SW_U</t>
    <phoneticPr fontId="1"/>
  </si>
  <si>
    <t>SW_D</t>
    <phoneticPr fontId="1"/>
  </si>
  <si>
    <t>SW_L</t>
    <phoneticPr fontId="1"/>
  </si>
  <si>
    <t>SW_R</t>
    <phoneticPr fontId="1"/>
  </si>
  <si>
    <t>SW_A</t>
    <phoneticPr fontId="1"/>
  </si>
  <si>
    <t>SW_B</t>
    <phoneticPr fontId="1"/>
  </si>
  <si>
    <t>fpga_spi_sck</t>
    <phoneticPr fontId="1"/>
  </si>
  <si>
    <t>I2S_DOUT</t>
    <phoneticPr fontId="1"/>
  </si>
  <si>
    <t>I2S_EN</t>
    <phoneticPr fontId="1"/>
  </si>
  <si>
    <t>フロントポーチ</t>
    <phoneticPr fontId="1"/>
  </si>
  <si>
    <t>同期幅</t>
    <rPh sb="0" eb="3">
      <t>ドウキハバ</t>
    </rPh>
    <phoneticPr fontId="1"/>
  </si>
  <si>
    <t>バックポーチ</t>
    <phoneticPr fontId="1"/>
  </si>
  <si>
    <t>映像期間</t>
    <rPh sb="0" eb="2">
      <t>エイゾウ</t>
    </rPh>
    <rPh sb="2" eb="4">
      <t>キカン</t>
    </rPh>
    <phoneticPr fontId="1"/>
  </si>
  <si>
    <t>水平</t>
    <rPh sb="0" eb="2">
      <t>スイヘイ</t>
    </rPh>
    <phoneticPr fontId="1"/>
  </si>
  <si>
    <t>垂直</t>
    <rPh sb="0" eb="2">
      <t>スイチョク</t>
    </rPh>
    <phoneticPr fontId="1"/>
  </si>
  <si>
    <t>映像期間</t>
    <rPh sb="0" eb="4">
      <t>エイゾウキカン</t>
    </rPh>
    <phoneticPr fontId="1"/>
  </si>
  <si>
    <t>動作クロック</t>
    <rPh sb="0" eb="2">
      <t>ドウサ</t>
    </rPh>
    <phoneticPr fontId="1"/>
  </si>
  <si>
    <t>MHz</t>
    <phoneticPr fontId="1"/>
  </si>
  <si>
    <t>line</t>
    <phoneticPr fontId="1"/>
  </si>
  <si>
    <t>pixel</t>
    <phoneticPr fontId="1"/>
  </si>
  <si>
    <t>リフレッシュレート</t>
    <phoneticPr fontId="1"/>
  </si>
  <si>
    <t>Hz</t>
    <phoneticPr fontId="1"/>
  </si>
  <si>
    <t>TOTAL</t>
    <phoneticPr fontId="1"/>
  </si>
  <si>
    <t>フレーム</t>
    <phoneticPr fontId="1"/>
  </si>
  <si>
    <t>clock</t>
    <phoneticPr fontId="1"/>
  </si>
  <si>
    <t>秒間</t>
    <rPh sb="0" eb="2">
      <t>ビョウカン</t>
    </rPh>
    <phoneticPr fontId="1"/>
  </si>
  <si>
    <t>H Pulse Width</t>
    <phoneticPr fontId="1"/>
  </si>
  <si>
    <t>V Pulse Width</t>
    <phoneticPr fontId="1"/>
  </si>
  <si>
    <t>H Back Porch</t>
    <phoneticPr fontId="1"/>
  </si>
  <si>
    <t>H Front Porch</t>
    <phoneticPr fontId="1"/>
  </si>
  <si>
    <t>V Back Porch</t>
    <phoneticPr fontId="1"/>
  </si>
  <si>
    <t>V Front Porch</t>
    <phoneticPr fontId="1"/>
  </si>
  <si>
    <t>V Active Area</t>
    <phoneticPr fontId="1"/>
  </si>
  <si>
    <t>H Active Area</t>
    <phoneticPr fontId="1"/>
  </si>
  <si>
    <t>frame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</si>
</sst>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Source Sans Pro SemiBold"/>
      <family val="2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5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6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0" fillId="3" borderId="9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4" borderId="10" xfId="0" applyFill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1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1" xfId="0" quotePrefix="1" applyBorder="1">
      <alignment vertical="center"/>
    </xf>
    <xf numFmtId="0" fontId="0" fillId="0" borderId="10" xfId="0" applyBorder="1">
      <alignment vertical="center"/>
    </xf>
    <xf numFmtId="0" fontId="0" fillId="7" borderId="1" xfId="0" applyFill="1" applyBorder="1">
      <alignment vertical="center"/>
    </xf>
    <xf numFmtId="0" fontId="0" fillId="0" borderId="10" xfId="0" applyBorder="1" applyAlignment="1">
      <alignment horizontal="center" vertical="center" wrapText="1"/>
    </xf>
    <xf numFmtId="0" fontId="3" fillId="0" borderId="1" xfId="0" applyFont="1" applyBorder="1">
      <alignment vertical="center"/>
    </xf>
    <xf numFmtId="0" fontId="3" fillId="3" borderId="12" xfId="0" applyFont="1" applyFill="1" applyBorder="1">
      <alignment vertical="center"/>
    </xf>
    <xf numFmtId="0" fontId="3" fillId="3" borderId="8" xfId="0" applyFont="1" applyFill="1" applyBorder="1">
      <alignment vertical="center"/>
    </xf>
    <xf numFmtId="0" fontId="0" fillId="0" borderId="13" xfId="0" applyBorder="1" applyAlignment="1">
      <alignment horizontal="center" vertical="center"/>
    </xf>
    <xf numFmtId="0" fontId="3" fillId="3" borderId="1" xfId="0" applyFont="1" applyFill="1" applyBorder="1">
      <alignment vertical="center"/>
    </xf>
    <xf numFmtId="0" fontId="0" fillId="3" borderId="11" xfId="0" applyFill="1" applyBorder="1">
      <alignment vertical="center"/>
    </xf>
    <xf numFmtId="0" fontId="0" fillId="9" borderId="1" xfId="0" applyFill="1" applyBorder="1">
      <alignment vertical="center"/>
    </xf>
    <xf numFmtId="0" fontId="0" fillId="6" borderId="0" xfId="0" applyFill="1" applyAlignment="1">
      <alignment horizontal="center"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12" borderId="1" xfId="0" applyFill="1" applyBorder="1">
      <alignment vertical="center"/>
    </xf>
    <xf numFmtId="0" fontId="3" fillId="5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4" borderId="1" xfId="0" quotePrefix="1" applyFill="1" applyBorder="1">
      <alignment vertical="center"/>
    </xf>
    <xf numFmtId="0" fontId="0" fillId="4" borderId="10" xfId="0" applyFill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0" fillId="4" borderId="10" xfId="0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1" xfId="0" applyFill="1" applyBorder="1">
      <alignment vertical="center"/>
    </xf>
    <xf numFmtId="0" fontId="0" fillId="14" borderId="1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93957</xdr:colOff>
      <xdr:row>25</xdr:row>
      <xdr:rowOff>131455</xdr:rowOff>
    </xdr:from>
    <xdr:to>
      <xdr:col>10</xdr:col>
      <xdr:colOff>87088</xdr:colOff>
      <xdr:row>49</xdr:row>
      <xdr:rowOff>11207</xdr:rowOff>
    </xdr:to>
    <xdr:pic>
      <xdr:nvPicPr>
        <xdr:cNvPr id="2" name="図 1" descr="tang_nano_20k_pinlabel">
          <a:extLst>
            <a:ext uri="{FF2B5EF4-FFF2-40B4-BE49-F238E27FC236}">
              <a16:creationId xmlns:a16="http://schemas.microsoft.com/office/drawing/2014/main" id="{1B0BE9D0-41CD-5375-DB93-DFF7303E38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045" y="4535367"/>
          <a:ext cx="4811661" cy="39138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26</xdr:row>
      <xdr:rowOff>0</xdr:rowOff>
    </xdr:from>
    <xdr:to>
      <xdr:col>10</xdr:col>
      <xdr:colOff>169239</xdr:colOff>
      <xdr:row>46</xdr:row>
      <xdr:rowOff>2672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6FC4969-4BE3-19D3-7795-F4079D590A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2643" y="4599214"/>
          <a:ext cx="5225143" cy="35405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11207</xdr:colOff>
      <xdr:row>38</xdr:row>
      <xdr:rowOff>46884</xdr:rowOff>
    </xdr:from>
    <xdr:to>
      <xdr:col>13</xdr:col>
      <xdr:colOff>1400736</xdr:colOff>
      <xdr:row>42</xdr:row>
      <xdr:rowOff>158626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DD5C34F-33C7-1B1B-E118-88A94081D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47648" y="6456649"/>
          <a:ext cx="2812676" cy="784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33B7-AF74-4B84-9A5F-962CDE3FF6FD}">
  <dimension ref="B1:P26"/>
  <sheetViews>
    <sheetView topLeftCell="I2" zoomScale="190" zoomScaleNormal="190" workbookViewId="0">
      <selection activeCell="P18" sqref="P18"/>
    </sheetView>
  </sheetViews>
  <sheetFormatPr defaultRowHeight="13.5" x14ac:dyDescent="0.15"/>
  <cols>
    <col min="1" max="1" width="2.25" customWidth="1"/>
    <col min="2" max="2" width="3.75" customWidth="1"/>
    <col min="3" max="3" width="6" bestFit="1" customWidth="1"/>
    <col min="4" max="4" width="6" customWidth="1"/>
    <col min="5" max="5" width="11.25" customWidth="1"/>
    <col min="6" max="6" width="15.375" bestFit="1" customWidth="1"/>
    <col min="7" max="7" width="7" bestFit="1" customWidth="1"/>
    <col min="8" max="8" width="7" customWidth="1"/>
    <col min="9" max="9" width="2.625" customWidth="1"/>
    <col min="10" max="10" width="3.75" customWidth="1"/>
    <col min="11" max="11" width="6" bestFit="1" customWidth="1"/>
    <col min="12" max="12" width="6" customWidth="1"/>
    <col min="13" max="13" width="11.25" customWidth="1"/>
    <col min="14" max="14" width="11.625" bestFit="1" customWidth="1"/>
    <col min="15" max="15" width="7" bestFit="1" customWidth="1"/>
    <col min="16" max="16" width="21.625" customWidth="1"/>
    <col min="17" max="17" width="19.75" customWidth="1"/>
  </cols>
  <sheetData>
    <row r="1" spans="2:16" ht="15" x14ac:dyDescent="0.15">
      <c r="B1" s="46" t="s">
        <v>9</v>
      </c>
      <c r="C1" s="46"/>
      <c r="D1" s="46"/>
      <c r="E1" s="46"/>
      <c r="F1" s="46"/>
      <c r="G1" s="46"/>
    </row>
    <row r="2" spans="2:16" ht="14.25" thickBot="1" x14ac:dyDescent="0.2"/>
    <row r="3" spans="2:16" x14ac:dyDescent="0.15">
      <c r="B3" s="2" t="s">
        <v>0</v>
      </c>
      <c r="C3" s="3" t="s">
        <v>10</v>
      </c>
      <c r="D3" s="3" t="s">
        <v>11</v>
      </c>
      <c r="E3" s="3" t="s">
        <v>1</v>
      </c>
      <c r="F3" s="3" t="s">
        <v>12</v>
      </c>
      <c r="G3" s="4" t="s">
        <v>2</v>
      </c>
      <c r="J3" s="2" t="s">
        <v>0</v>
      </c>
      <c r="K3" s="3" t="s">
        <v>10</v>
      </c>
      <c r="L3" s="3" t="s">
        <v>11</v>
      </c>
      <c r="M3" s="3" t="s">
        <v>1</v>
      </c>
      <c r="N3" s="3" t="s">
        <v>12</v>
      </c>
      <c r="O3" s="4" t="s">
        <v>2</v>
      </c>
    </row>
    <row r="4" spans="2:16" ht="13.5" customHeight="1" x14ac:dyDescent="0.15">
      <c r="B4" s="8">
        <v>1</v>
      </c>
      <c r="C4" s="1" t="s">
        <v>13</v>
      </c>
      <c r="D4" s="1">
        <v>1</v>
      </c>
      <c r="E4" s="1" t="s">
        <v>117</v>
      </c>
      <c r="F4" s="15" t="s">
        <v>101</v>
      </c>
      <c r="G4" s="9" t="s">
        <v>6</v>
      </c>
      <c r="H4" s="48" t="s">
        <v>51</v>
      </c>
      <c r="J4" s="5">
        <v>40</v>
      </c>
      <c r="K4" s="6" t="s">
        <v>14</v>
      </c>
      <c r="L4" s="6" t="s">
        <v>4</v>
      </c>
      <c r="M4" s="6" t="s">
        <v>4</v>
      </c>
      <c r="N4" s="6" t="s">
        <v>4</v>
      </c>
      <c r="O4" s="7" t="s">
        <v>6</v>
      </c>
    </row>
    <row r="5" spans="2:16" x14ac:dyDescent="0.15">
      <c r="B5" s="8">
        <v>2</v>
      </c>
      <c r="C5" s="1" t="s">
        <v>15</v>
      </c>
      <c r="D5" s="1">
        <v>1</v>
      </c>
      <c r="E5" s="1" t="s">
        <v>117</v>
      </c>
      <c r="F5" s="15" t="s">
        <v>132</v>
      </c>
      <c r="G5" s="9" t="s">
        <v>6</v>
      </c>
      <c r="H5" s="48"/>
      <c r="J5" s="5">
        <v>39</v>
      </c>
      <c r="K5" s="6" t="s">
        <v>3</v>
      </c>
      <c r="L5" s="6" t="s">
        <v>4</v>
      </c>
      <c r="M5" s="6" t="s">
        <v>4</v>
      </c>
      <c r="N5" s="6" t="s">
        <v>4</v>
      </c>
      <c r="O5" s="7" t="s">
        <v>4</v>
      </c>
    </row>
    <row r="6" spans="2:16" x14ac:dyDescent="0.15">
      <c r="B6" s="8">
        <v>3</v>
      </c>
      <c r="C6" s="1" t="s">
        <v>16</v>
      </c>
      <c r="D6" s="1">
        <v>1</v>
      </c>
      <c r="E6" s="1" t="s">
        <v>117</v>
      </c>
      <c r="F6" s="15" t="s">
        <v>103</v>
      </c>
      <c r="G6" s="9" t="s">
        <v>6</v>
      </c>
      <c r="H6" s="48"/>
      <c r="J6" s="8">
        <v>38</v>
      </c>
      <c r="K6" s="1" t="s">
        <v>17</v>
      </c>
      <c r="L6" s="1">
        <v>1</v>
      </c>
      <c r="M6" s="19" t="s">
        <v>8</v>
      </c>
      <c r="N6" s="1"/>
      <c r="O6" s="9"/>
    </row>
    <row r="7" spans="2:16" x14ac:dyDescent="0.15">
      <c r="B7" s="8">
        <v>4</v>
      </c>
      <c r="C7" s="1" t="s">
        <v>18</v>
      </c>
      <c r="D7" s="1">
        <v>0</v>
      </c>
      <c r="E7" s="1" t="s">
        <v>117</v>
      </c>
      <c r="F7" s="15" t="s">
        <v>100</v>
      </c>
      <c r="G7" s="9" t="s">
        <v>7</v>
      </c>
      <c r="H7" s="48"/>
      <c r="J7" s="8">
        <v>37</v>
      </c>
      <c r="K7" s="1" t="s">
        <v>19</v>
      </c>
      <c r="L7" s="1">
        <v>0</v>
      </c>
      <c r="M7" s="1" t="s">
        <v>5</v>
      </c>
      <c r="N7" s="15" t="s">
        <v>99</v>
      </c>
      <c r="O7" s="9" t="s">
        <v>7</v>
      </c>
      <c r="P7" s="36" t="s">
        <v>112</v>
      </c>
    </row>
    <row r="8" spans="2:16" x14ac:dyDescent="0.15">
      <c r="B8" s="8">
        <v>5</v>
      </c>
      <c r="C8" s="1" t="s">
        <v>20</v>
      </c>
      <c r="D8" s="1">
        <v>1</v>
      </c>
      <c r="E8" s="1" t="s">
        <v>60</v>
      </c>
      <c r="F8" s="27"/>
      <c r="G8" s="9"/>
      <c r="H8" s="17"/>
      <c r="J8" s="8">
        <v>36</v>
      </c>
      <c r="K8" s="1" t="s">
        <v>21</v>
      </c>
      <c r="L8" s="1">
        <v>4</v>
      </c>
      <c r="M8" s="1" t="s">
        <v>60</v>
      </c>
      <c r="N8" s="27"/>
      <c r="O8" s="9"/>
      <c r="P8" s="26"/>
    </row>
    <row r="9" spans="2:16" x14ac:dyDescent="0.15">
      <c r="B9" s="8">
        <v>6</v>
      </c>
      <c r="C9" s="1" t="s">
        <v>22</v>
      </c>
      <c r="D9" s="1">
        <v>6</v>
      </c>
      <c r="E9" s="1" t="s">
        <v>23</v>
      </c>
      <c r="F9" s="14" t="s">
        <v>118</v>
      </c>
      <c r="G9" s="9" t="s">
        <v>7</v>
      </c>
      <c r="H9" s="17"/>
      <c r="J9" s="8">
        <v>35</v>
      </c>
      <c r="K9" s="1" t="s">
        <v>24</v>
      </c>
      <c r="L9" s="1">
        <v>4</v>
      </c>
      <c r="M9" s="1" t="s">
        <v>60</v>
      </c>
      <c r="N9" s="27"/>
      <c r="O9" s="9"/>
      <c r="P9" s="26"/>
    </row>
    <row r="10" spans="2:16" ht="13.5" customHeight="1" x14ac:dyDescent="0.15">
      <c r="B10" s="8">
        <v>7</v>
      </c>
      <c r="C10" s="1" t="s">
        <v>25</v>
      </c>
      <c r="D10" s="1">
        <v>6</v>
      </c>
      <c r="E10" s="1" t="s">
        <v>23</v>
      </c>
      <c r="F10" s="14" t="s">
        <v>119</v>
      </c>
      <c r="G10" s="9" t="s">
        <v>7</v>
      </c>
      <c r="H10" s="17"/>
      <c r="J10" s="8">
        <v>34</v>
      </c>
      <c r="K10" s="1" t="s">
        <v>26</v>
      </c>
      <c r="L10" s="1">
        <v>3</v>
      </c>
      <c r="M10" s="1" t="s">
        <v>57</v>
      </c>
      <c r="N10" s="13" t="s">
        <v>57</v>
      </c>
      <c r="O10" s="9" t="s">
        <v>7</v>
      </c>
      <c r="P10" s="47" t="s">
        <v>58</v>
      </c>
    </row>
    <row r="11" spans="2:16" ht="13.5" customHeight="1" x14ac:dyDescent="0.15">
      <c r="B11" s="8">
        <v>8</v>
      </c>
      <c r="C11" s="1" t="s">
        <v>27</v>
      </c>
      <c r="D11" s="1">
        <v>5</v>
      </c>
      <c r="E11" s="1" t="s">
        <v>60</v>
      </c>
      <c r="F11" s="27"/>
      <c r="G11" s="9"/>
      <c r="H11" s="17"/>
      <c r="J11" s="8">
        <v>33</v>
      </c>
      <c r="K11" s="1" t="s">
        <v>28</v>
      </c>
      <c r="L11" s="1">
        <v>3</v>
      </c>
      <c r="M11" s="1" t="s">
        <v>56</v>
      </c>
      <c r="N11" s="13" t="s">
        <v>133</v>
      </c>
      <c r="O11" s="9" t="s">
        <v>7</v>
      </c>
      <c r="P11" s="47"/>
    </row>
    <row r="12" spans="2:16" x14ac:dyDescent="0.15">
      <c r="B12" s="8">
        <v>9</v>
      </c>
      <c r="C12" s="1" t="s">
        <v>29</v>
      </c>
      <c r="D12" s="1">
        <v>5</v>
      </c>
      <c r="E12" s="1" t="s">
        <v>60</v>
      </c>
      <c r="F12" s="27"/>
      <c r="G12" s="9"/>
      <c r="H12" s="17"/>
      <c r="J12" s="8">
        <v>32</v>
      </c>
      <c r="K12" s="1" t="s">
        <v>30</v>
      </c>
      <c r="L12" s="1">
        <v>3</v>
      </c>
      <c r="M12" s="1" t="s">
        <v>55</v>
      </c>
      <c r="N12" s="44" t="s">
        <v>134</v>
      </c>
      <c r="O12" s="9" t="s">
        <v>59</v>
      </c>
      <c r="P12" s="45"/>
    </row>
    <row r="13" spans="2:16" x14ac:dyDescent="0.15">
      <c r="B13" s="8">
        <v>10</v>
      </c>
      <c r="C13" s="1" t="s">
        <v>31</v>
      </c>
      <c r="D13" s="1">
        <v>5</v>
      </c>
      <c r="E13" s="1" t="s">
        <v>60</v>
      </c>
      <c r="F13" s="27"/>
      <c r="G13" s="9"/>
      <c r="H13" s="17"/>
      <c r="J13" s="8">
        <v>31</v>
      </c>
      <c r="K13" s="1" t="s">
        <v>32</v>
      </c>
      <c r="L13" s="1">
        <v>3</v>
      </c>
      <c r="M13" s="1" t="s">
        <v>60</v>
      </c>
      <c r="N13" s="27"/>
      <c r="O13" s="9"/>
      <c r="P13" s="28"/>
    </row>
    <row r="14" spans="2:16" x14ac:dyDescent="0.15">
      <c r="B14" s="8">
        <v>11</v>
      </c>
      <c r="C14" s="1" t="s">
        <v>33</v>
      </c>
      <c r="D14" s="1">
        <v>5</v>
      </c>
      <c r="E14" s="1" t="s">
        <v>60</v>
      </c>
      <c r="F14" s="27"/>
      <c r="G14" s="9"/>
      <c r="H14" s="17"/>
      <c r="J14" s="8">
        <v>30</v>
      </c>
      <c r="K14" s="1" t="s">
        <v>34</v>
      </c>
      <c r="L14" s="1">
        <v>3</v>
      </c>
      <c r="M14" s="1" t="s">
        <v>54</v>
      </c>
      <c r="N14" s="13" t="s">
        <v>54</v>
      </c>
      <c r="O14" s="9" t="s">
        <v>7</v>
      </c>
      <c r="P14" s="16" t="s">
        <v>58</v>
      </c>
    </row>
    <row r="15" spans="2:16" x14ac:dyDescent="0.15">
      <c r="B15" s="8">
        <v>12</v>
      </c>
      <c r="C15" s="1" t="s">
        <v>35</v>
      </c>
      <c r="D15" s="1">
        <v>5</v>
      </c>
      <c r="E15" s="1" t="s">
        <v>60</v>
      </c>
      <c r="F15" s="27"/>
      <c r="G15" s="9"/>
      <c r="H15" s="17"/>
      <c r="J15" s="8">
        <v>29</v>
      </c>
      <c r="K15" s="1" t="s">
        <v>36</v>
      </c>
      <c r="L15" s="1">
        <v>3</v>
      </c>
      <c r="M15" s="1" t="s">
        <v>60</v>
      </c>
      <c r="N15" s="27"/>
      <c r="O15" s="9"/>
      <c r="P15" s="28"/>
    </row>
    <row r="16" spans="2:16" x14ac:dyDescent="0.15">
      <c r="B16" s="8">
        <v>13</v>
      </c>
      <c r="C16" s="1" t="s">
        <v>37</v>
      </c>
      <c r="D16" s="1">
        <v>5</v>
      </c>
      <c r="E16" s="1" t="s">
        <v>60</v>
      </c>
      <c r="F16" s="27"/>
      <c r="G16" s="9"/>
      <c r="H16" s="17"/>
      <c r="J16" s="8">
        <v>28</v>
      </c>
      <c r="K16" s="1" t="s">
        <v>38</v>
      </c>
      <c r="L16" s="1">
        <v>0</v>
      </c>
      <c r="M16" s="1"/>
      <c r="N16" s="1"/>
      <c r="O16" s="9"/>
      <c r="P16" s="32"/>
    </row>
    <row r="17" spans="2:16" x14ac:dyDescent="0.15">
      <c r="B17" s="8">
        <v>14</v>
      </c>
      <c r="C17" s="1" t="s">
        <v>39</v>
      </c>
      <c r="D17" s="1">
        <v>5</v>
      </c>
      <c r="E17" s="1" t="s">
        <v>60</v>
      </c>
      <c r="F17" s="27"/>
      <c r="G17" s="9"/>
      <c r="H17" s="17"/>
      <c r="J17" s="8">
        <v>27</v>
      </c>
      <c r="K17" s="1" t="s">
        <v>40</v>
      </c>
      <c r="L17" s="1">
        <v>0</v>
      </c>
      <c r="M17" s="1" t="s">
        <v>41</v>
      </c>
      <c r="N17" s="1" t="s">
        <v>61</v>
      </c>
      <c r="O17" s="9" t="s">
        <v>7</v>
      </c>
    </row>
    <row r="18" spans="2:16" ht="13.5" customHeight="1" x14ac:dyDescent="0.15">
      <c r="B18" s="8">
        <v>15</v>
      </c>
      <c r="C18" s="1" t="s">
        <v>42</v>
      </c>
      <c r="D18" s="1">
        <v>6</v>
      </c>
      <c r="E18" s="1" t="s">
        <v>23</v>
      </c>
      <c r="F18" s="14" t="s">
        <v>120</v>
      </c>
      <c r="G18" s="9" t="s">
        <v>7</v>
      </c>
      <c r="H18" s="28"/>
      <c r="J18" s="5">
        <v>26</v>
      </c>
      <c r="K18" s="6" t="s">
        <v>3</v>
      </c>
      <c r="L18" s="6" t="s">
        <v>4</v>
      </c>
      <c r="M18" s="6" t="s">
        <v>4</v>
      </c>
      <c r="N18" s="6" t="s">
        <v>4</v>
      </c>
      <c r="O18" s="7" t="s">
        <v>4</v>
      </c>
    </row>
    <row r="19" spans="2:16" x14ac:dyDescent="0.15">
      <c r="B19" s="8">
        <v>16</v>
      </c>
      <c r="C19" s="1" t="s">
        <v>43</v>
      </c>
      <c r="D19" s="1">
        <v>6</v>
      </c>
      <c r="E19" s="1" t="s">
        <v>23</v>
      </c>
      <c r="F19" s="14" t="s">
        <v>123</v>
      </c>
      <c r="G19" s="9" t="s">
        <v>7</v>
      </c>
      <c r="H19" s="28"/>
      <c r="J19" s="5">
        <v>25</v>
      </c>
      <c r="K19" s="6" t="s">
        <v>44</v>
      </c>
      <c r="L19" s="6" t="s">
        <v>4</v>
      </c>
      <c r="M19" s="6" t="s">
        <v>4</v>
      </c>
      <c r="N19" s="6" t="s">
        <v>4</v>
      </c>
      <c r="O19" s="7" t="s">
        <v>7</v>
      </c>
    </row>
    <row r="20" spans="2:16" x14ac:dyDescent="0.15">
      <c r="B20" s="8">
        <v>17</v>
      </c>
      <c r="C20" s="1" t="s">
        <v>45</v>
      </c>
      <c r="D20" s="1">
        <v>6</v>
      </c>
      <c r="E20" s="1" t="s">
        <v>23</v>
      </c>
      <c r="F20" s="14" t="s">
        <v>122</v>
      </c>
      <c r="G20" s="9" t="s">
        <v>7</v>
      </c>
      <c r="H20" s="28"/>
      <c r="J20" s="8">
        <v>24</v>
      </c>
      <c r="K20" s="1" t="s">
        <v>46</v>
      </c>
      <c r="L20" s="1">
        <v>1</v>
      </c>
      <c r="M20" s="1"/>
      <c r="N20" s="41" t="s">
        <v>125</v>
      </c>
      <c r="O20" s="9" t="s">
        <v>7</v>
      </c>
      <c r="P20" s="26"/>
    </row>
    <row r="21" spans="2:16" x14ac:dyDescent="0.15">
      <c r="B21" s="8">
        <v>18</v>
      </c>
      <c r="C21" s="1" t="s">
        <v>47</v>
      </c>
      <c r="D21" s="1">
        <v>6</v>
      </c>
      <c r="E21" s="1" t="s">
        <v>23</v>
      </c>
      <c r="F21" s="14" t="s">
        <v>121</v>
      </c>
      <c r="G21" s="9" t="s">
        <v>7</v>
      </c>
      <c r="H21" s="28"/>
      <c r="J21" s="8">
        <v>23</v>
      </c>
      <c r="K21" s="1" t="s">
        <v>48</v>
      </c>
      <c r="L21" s="1">
        <v>1</v>
      </c>
      <c r="M21" s="1"/>
      <c r="N21" s="41" t="s">
        <v>124</v>
      </c>
      <c r="O21" s="9" t="s">
        <v>7</v>
      </c>
      <c r="P21" s="26"/>
    </row>
    <row r="22" spans="2:16" x14ac:dyDescent="0.15">
      <c r="B22" s="5">
        <v>19</v>
      </c>
      <c r="C22" s="6" t="s">
        <v>44</v>
      </c>
      <c r="D22" s="6" t="s">
        <v>4</v>
      </c>
      <c r="E22" s="6" t="s">
        <v>4</v>
      </c>
      <c r="F22" s="6" t="s">
        <v>4</v>
      </c>
      <c r="G22" s="7" t="s">
        <v>7</v>
      </c>
      <c r="J22" s="5">
        <v>22</v>
      </c>
      <c r="K22" s="6" t="s">
        <v>49</v>
      </c>
      <c r="L22" s="6">
        <v>3</v>
      </c>
      <c r="M22" s="6" t="s">
        <v>52</v>
      </c>
      <c r="N22" s="30"/>
      <c r="O22" s="7"/>
    </row>
    <row r="23" spans="2:16" ht="14.25" thickBot="1" x14ac:dyDescent="0.2">
      <c r="B23" s="10">
        <v>20</v>
      </c>
      <c r="C23" s="11" t="s">
        <v>3</v>
      </c>
      <c r="D23" s="11" t="s">
        <v>4</v>
      </c>
      <c r="E23" s="11" t="s">
        <v>4</v>
      </c>
      <c r="F23" s="11" t="s">
        <v>4</v>
      </c>
      <c r="G23" s="12" t="s">
        <v>4</v>
      </c>
      <c r="J23" s="10">
        <v>21</v>
      </c>
      <c r="K23" s="11" t="s">
        <v>50</v>
      </c>
      <c r="L23" s="11">
        <v>3</v>
      </c>
      <c r="M23" s="11" t="s">
        <v>53</v>
      </c>
      <c r="N23" s="31"/>
      <c r="O23" s="12"/>
    </row>
    <row r="25" spans="2:16" x14ac:dyDescent="0.15">
      <c r="E25" s="23"/>
    </row>
    <row r="26" spans="2:16" x14ac:dyDescent="0.15">
      <c r="C26" s="24"/>
    </row>
  </sheetData>
  <mergeCells count="3">
    <mergeCell ref="B1:G1"/>
    <mergeCell ref="P10:P11"/>
    <mergeCell ref="H4:H7"/>
  </mergeCells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4F05D-A8C1-40EC-9543-D575AFFCD60C}">
  <dimension ref="B1:N38"/>
  <sheetViews>
    <sheetView topLeftCell="G1" zoomScale="145" zoomScaleNormal="145" workbookViewId="0">
      <selection activeCell="K28" sqref="K28"/>
    </sheetView>
  </sheetViews>
  <sheetFormatPr defaultRowHeight="13.5" x14ac:dyDescent="0.15"/>
  <cols>
    <col min="1" max="1" width="2.25" customWidth="1"/>
    <col min="2" max="2" width="3.75" customWidth="1"/>
    <col min="3" max="3" width="6" bestFit="1" customWidth="1"/>
    <col min="4" max="4" width="14.5" customWidth="1"/>
    <col min="5" max="5" width="16.375" customWidth="1"/>
    <col min="6" max="6" width="7" bestFit="1" customWidth="1"/>
    <col min="7" max="7" width="7" customWidth="1"/>
    <col min="8" max="8" width="2.625" customWidth="1"/>
    <col min="9" max="9" width="3.75" customWidth="1"/>
    <col min="10" max="10" width="8.875" customWidth="1"/>
    <col min="11" max="11" width="18.625" customWidth="1"/>
    <col min="12" max="12" width="11.625" bestFit="1" customWidth="1"/>
    <col min="13" max="13" width="7" bestFit="1" customWidth="1"/>
    <col min="14" max="14" width="19.375" customWidth="1"/>
    <col min="15" max="15" width="19.75" customWidth="1"/>
  </cols>
  <sheetData>
    <row r="1" spans="2:14" x14ac:dyDescent="0.15">
      <c r="B1" s="49" t="s">
        <v>98</v>
      </c>
      <c r="C1" s="49"/>
      <c r="D1" s="49"/>
      <c r="E1" s="49"/>
      <c r="F1" s="49"/>
      <c r="G1" s="18"/>
    </row>
    <row r="2" spans="2:14" ht="14.25" thickBot="1" x14ac:dyDescent="0.2"/>
    <row r="3" spans="2:14" x14ac:dyDescent="0.15">
      <c r="B3" s="2" t="s">
        <v>0</v>
      </c>
      <c r="C3" s="3" t="s">
        <v>10</v>
      </c>
      <c r="D3" s="3" t="s">
        <v>1</v>
      </c>
      <c r="E3" s="3" t="s">
        <v>12</v>
      </c>
      <c r="F3" s="4" t="s">
        <v>2</v>
      </c>
      <c r="I3" s="2" t="s">
        <v>0</v>
      </c>
      <c r="J3" s="3" t="s">
        <v>10</v>
      </c>
      <c r="K3" s="3" t="s">
        <v>1</v>
      </c>
      <c r="L3" s="3" t="s">
        <v>12</v>
      </c>
      <c r="M3" s="4" t="s">
        <v>2</v>
      </c>
    </row>
    <row r="4" spans="2:14" x14ac:dyDescent="0.15">
      <c r="B4" s="8">
        <v>1</v>
      </c>
      <c r="C4" s="1" t="s">
        <v>62</v>
      </c>
      <c r="D4" s="1"/>
      <c r="E4" s="1"/>
      <c r="F4" s="9"/>
      <c r="G4" s="17"/>
      <c r="I4" s="8">
        <v>40</v>
      </c>
      <c r="J4" s="1" t="s">
        <v>78</v>
      </c>
      <c r="K4" s="1"/>
      <c r="L4" s="1"/>
      <c r="M4" s="9" t="s">
        <v>6</v>
      </c>
    </row>
    <row r="5" spans="2:14" x14ac:dyDescent="0.15">
      <c r="B5" s="8">
        <v>2</v>
      </c>
      <c r="C5" s="1" t="s">
        <v>63</v>
      </c>
      <c r="D5" s="1"/>
      <c r="E5" s="1"/>
      <c r="F5" s="9"/>
      <c r="G5" s="26"/>
      <c r="I5" s="8">
        <v>39</v>
      </c>
      <c r="J5" s="1" t="s">
        <v>79</v>
      </c>
      <c r="K5" s="1"/>
      <c r="L5" s="1"/>
      <c r="M5" s="9" t="s">
        <v>6</v>
      </c>
    </row>
    <row r="6" spans="2:14" x14ac:dyDescent="0.15">
      <c r="B6" s="5">
        <v>3</v>
      </c>
      <c r="C6" s="6" t="s">
        <v>3</v>
      </c>
      <c r="D6" s="6"/>
      <c r="E6" s="6"/>
      <c r="F6" s="7"/>
      <c r="G6" s="26"/>
      <c r="I6" s="5">
        <v>38</v>
      </c>
      <c r="J6" s="6" t="s">
        <v>3</v>
      </c>
      <c r="K6" s="34"/>
      <c r="L6" s="6"/>
      <c r="M6" s="7"/>
    </row>
    <row r="7" spans="2:14" x14ac:dyDescent="0.15">
      <c r="B7" s="8">
        <v>4</v>
      </c>
      <c r="C7" s="1" t="s">
        <v>64</v>
      </c>
      <c r="D7" s="1"/>
      <c r="E7" s="1"/>
      <c r="F7" s="9"/>
      <c r="G7" s="26"/>
      <c r="I7" s="8">
        <v>37</v>
      </c>
      <c r="J7" s="1" t="s">
        <v>80</v>
      </c>
      <c r="K7" s="1"/>
      <c r="L7" s="1"/>
      <c r="M7" s="9"/>
      <c r="N7" s="17"/>
    </row>
    <row r="8" spans="2:14" x14ac:dyDescent="0.15">
      <c r="B8" s="8">
        <v>5</v>
      </c>
      <c r="C8" s="1" t="s">
        <v>65</v>
      </c>
      <c r="D8" s="1"/>
      <c r="E8" s="15" t="s">
        <v>99</v>
      </c>
      <c r="F8" s="9" t="s">
        <v>6</v>
      </c>
      <c r="G8" s="26"/>
      <c r="I8" s="8">
        <v>36</v>
      </c>
      <c r="J8" s="1" t="s">
        <v>81</v>
      </c>
      <c r="K8" s="1"/>
      <c r="L8" s="1"/>
      <c r="M8" s="9" t="s">
        <v>7</v>
      </c>
      <c r="N8" s="17"/>
    </row>
    <row r="9" spans="2:14" x14ac:dyDescent="0.15">
      <c r="B9" s="8">
        <v>6</v>
      </c>
      <c r="C9" s="1" t="s">
        <v>66</v>
      </c>
      <c r="D9" s="1" t="s">
        <v>94</v>
      </c>
      <c r="E9" s="15" t="s">
        <v>100</v>
      </c>
      <c r="F9" s="9" t="s">
        <v>6</v>
      </c>
      <c r="G9" s="26"/>
      <c r="I9" s="8">
        <v>35</v>
      </c>
      <c r="J9" s="1" t="s">
        <v>82</v>
      </c>
      <c r="K9" s="1"/>
      <c r="L9" s="1"/>
      <c r="M9" s="9"/>
      <c r="N9" s="17"/>
    </row>
    <row r="10" spans="2:14" ht="13.5" customHeight="1" x14ac:dyDescent="0.15">
      <c r="B10" s="8">
        <v>7</v>
      </c>
      <c r="C10" s="1" t="s">
        <v>67</v>
      </c>
      <c r="D10" s="1" t="s">
        <v>95</v>
      </c>
      <c r="E10" s="15" t="s">
        <v>101</v>
      </c>
      <c r="F10" s="9" t="s">
        <v>7</v>
      </c>
      <c r="G10" s="17"/>
      <c r="I10" s="8">
        <v>34</v>
      </c>
      <c r="J10" s="1" t="s">
        <v>83</v>
      </c>
      <c r="K10" s="1"/>
      <c r="L10" s="1"/>
      <c r="M10" s="9"/>
      <c r="N10" s="17"/>
    </row>
    <row r="11" spans="2:14" ht="13.5" customHeight="1" x14ac:dyDescent="0.15">
      <c r="B11" s="5">
        <v>8</v>
      </c>
      <c r="C11" s="6" t="s">
        <v>3</v>
      </c>
      <c r="D11" s="6"/>
      <c r="E11" s="6"/>
      <c r="F11" s="7"/>
      <c r="G11" s="17"/>
      <c r="I11" s="5">
        <v>33</v>
      </c>
      <c r="J11" s="6" t="s">
        <v>3</v>
      </c>
      <c r="K11" s="6"/>
      <c r="L11" s="6"/>
      <c r="M11" s="7"/>
      <c r="N11" s="17"/>
    </row>
    <row r="12" spans="2:14" x14ac:dyDescent="0.15">
      <c r="B12" s="8">
        <v>9</v>
      </c>
      <c r="C12" s="1" t="s">
        <v>68</v>
      </c>
      <c r="D12" s="1" t="s">
        <v>96</v>
      </c>
      <c r="E12" s="15" t="s">
        <v>102</v>
      </c>
      <c r="F12" s="9" t="s">
        <v>7</v>
      </c>
      <c r="G12" s="17"/>
      <c r="I12" s="8">
        <v>32</v>
      </c>
      <c r="J12" s="1" t="s">
        <v>84</v>
      </c>
      <c r="K12" s="1"/>
      <c r="L12" s="25"/>
      <c r="M12" s="9"/>
      <c r="N12" s="17"/>
    </row>
    <row r="13" spans="2:14" x14ac:dyDescent="0.15">
      <c r="B13" s="8">
        <v>10</v>
      </c>
      <c r="C13" s="1" t="s">
        <v>69</v>
      </c>
      <c r="D13" s="1" t="s">
        <v>97</v>
      </c>
      <c r="E13" s="15" t="s">
        <v>103</v>
      </c>
      <c r="F13" s="9" t="s">
        <v>7</v>
      </c>
      <c r="G13" s="17"/>
      <c r="I13" s="8">
        <v>31</v>
      </c>
      <c r="J13" s="1" t="s">
        <v>85</v>
      </c>
      <c r="K13" s="1"/>
      <c r="L13" s="1"/>
      <c r="M13" s="9"/>
      <c r="N13" s="17"/>
    </row>
    <row r="14" spans="2:14" x14ac:dyDescent="0.15">
      <c r="B14" s="8">
        <v>11</v>
      </c>
      <c r="C14" s="1" t="s">
        <v>70</v>
      </c>
      <c r="D14" s="1" t="s">
        <v>104</v>
      </c>
      <c r="E14" s="35" t="s">
        <v>108</v>
      </c>
      <c r="F14" s="9" t="s">
        <v>6</v>
      </c>
      <c r="G14" s="17"/>
      <c r="I14" s="8">
        <v>30</v>
      </c>
      <c r="J14" s="1" t="s">
        <v>86</v>
      </c>
      <c r="K14" s="1"/>
      <c r="L14" s="1"/>
      <c r="M14" s="9"/>
      <c r="N14" s="28"/>
    </row>
    <row r="15" spans="2:14" x14ac:dyDescent="0.15">
      <c r="B15" s="8">
        <v>12</v>
      </c>
      <c r="C15" s="1" t="s">
        <v>71</v>
      </c>
      <c r="D15" s="1" t="s">
        <v>105</v>
      </c>
      <c r="E15" s="35" t="s">
        <v>109</v>
      </c>
      <c r="F15" s="9" t="s">
        <v>7</v>
      </c>
      <c r="G15" s="17"/>
      <c r="I15" s="8">
        <v>29</v>
      </c>
      <c r="J15" s="1" t="s">
        <v>87</v>
      </c>
      <c r="K15" s="1"/>
      <c r="L15" s="29"/>
      <c r="M15" s="9"/>
      <c r="N15" s="17"/>
    </row>
    <row r="16" spans="2:14" x14ac:dyDescent="0.15">
      <c r="B16" s="5">
        <v>13</v>
      </c>
      <c r="C16" s="6" t="s">
        <v>3</v>
      </c>
      <c r="D16" s="6"/>
      <c r="E16" s="6"/>
      <c r="F16" s="7"/>
      <c r="G16" s="17"/>
      <c r="I16" s="5">
        <v>28</v>
      </c>
      <c r="J16" s="6" t="s">
        <v>3</v>
      </c>
      <c r="K16" s="6"/>
      <c r="L16" s="33"/>
      <c r="M16" s="7"/>
      <c r="N16" s="17"/>
    </row>
    <row r="17" spans="2:14" x14ac:dyDescent="0.15">
      <c r="B17" s="8">
        <v>14</v>
      </c>
      <c r="C17" s="1" t="s">
        <v>72</v>
      </c>
      <c r="D17" s="1" t="s">
        <v>106</v>
      </c>
      <c r="E17" s="35" t="s">
        <v>110</v>
      </c>
      <c r="F17" s="9" t="s">
        <v>7</v>
      </c>
      <c r="G17" s="17"/>
      <c r="I17" s="8">
        <v>27</v>
      </c>
      <c r="J17" s="1" t="s">
        <v>88</v>
      </c>
      <c r="K17" s="1"/>
      <c r="L17" s="42" t="s">
        <v>129</v>
      </c>
      <c r="M17" s="9" t="s">
        <v>6</v>
      </c>
    </row>
    <row r="18" spans="2:14" ht="13.5" customHeight="1" x14ac:dyDescent="0.15">
      <c r="B18" s="8">
        <v>15</v>
      </c>
      <c r="C18" s="1" t="s">
        <v>73</v>
      </c>
      <c r="D18" s="1" t="s">
        <v>107</v>
      </c>
      <c r="E18" s="35" t="s">
        <v>111</v>
      </c>
      <c r="F18" s="9" t="s">
        <v>7</v>
      </c>
      <c r="G18" s="17"/>
      <c r="I18" s="8">
        <v>26</v>
      </c>
      <c r="J18" s="1" t="s">
        <v>89</v>
      </c>
      <c r="K18" s="1"/>
      <c r="L18" s="42" t="s">
        <v>128</v>
      </c>
      <c r="M18" s="9" t="s">
        <v>6</v>
      </c>
    </row>
    <row r="19" spans="2:14" x14ac:dyDescent="0.15">
      <c r="B19" s="8">
        <v>16</v>
      </c>
      <c r="C19" s="1" t="s">
        <v>74</v>
      </c>
      <c r="D19" s="1"/>
      <c r="E19" s="1"/>
      <c r="F19" s="9"/>
      <c r="G19" s="17"/>
      <c r="I19" s="8">
        <v>25</v>
      </c>
      <c r="J19" s="1" t="s">
        <v>90</v>
      </c>
      <c r="K19" s="1"/>
      <c r="L19" s="42" t="s">
        <v>127</v>
      </c>
      <c r="M19" s="9" t="s">
        <v>6</v>
      </c>
    </row>
    <row r="20" spans="2:14" x14ac:dyDescent="0.15">
      <c r="B20" s="8">
        <v>17</v>
      </c>
      <c r="C20" s="1" t="s">
        <v>75</v>
      </c>
      <c r="D20" s="1"/>
      <c r="E20" s="1"/>
      <c r="F20" s="9"/>
      <c r="G20" s="17"/>
      <c r="I20" s="8">
        <v>24</v>
      </c>
      <c r="J20" s="1" t="s">
        <v>91</v>
      </c>
      <c r="K20" s="1"/>
      <c r="L20" s="42" t="s">
        <v>126</v>
      </c>
      <c r="M20" s="9" t="s">
        <v>6</v>
      </c>
      <c r="N20" s="17"/>
    </row>
    <row r="21" spans="2:14" x14ac:dyDescent="0.15">
      <c r="B21" s="5">
        <v>18</v>
      </c>
      <c r="C21" s="6" t="s">
        <v>3</v>
      </c>
      <c r="D21" s="6"/>
      <c r="E21" s="6"/>
      <c r="F21" s="7"/>
      <c r="G21" s="17"/>
      <c r="I21" s="5">
        <v>23</v>
      </c>
      <c r="J21" s="6" t="s">
        <v>3</v>
      </c>
      <c r="K21" s="6"/>
      <c r="L21" s="6"/>
      <c r="M21" s="7"/>
      <c r="N21" s="17"/>
    </row>
    <row r="22" spans="2:14" x14ac:dyDescent="0.15">
      <c r="B22" s="8">
        <v>19</v>
      </c>
      <c r="C22" s="1" t="s">
        <v>76</v>
      </c>
      <c r="D22" s="1"/>
      <c r="E22" s="1"/>
      <c r="F22" s="9"/>
      <c r="I22" s="8">
        <v>22</v>
      </c>
      <c r="J22" s="1" t="s">
        <v>92</v>
      </c>
      <c r="K22" s="1"/>
      <c r="L22" s="42" t="s">
        <v>131</v>
      </c>
      <c r="M22" s="9" t="s">
        <v>6</v>
      </c>
    </row>
    <row r="23" spans="2:14" ht="14.25" thickBot="1" x14ac:dyDescent="0.2">
      <c r="B23" s="20">
        <v>20</v>
      </c>
      <c r="C23" s="21" t="s">
        <v>77</v>
      </c>
      <c r="D23" s="21"/>
      <c r="E23" s="21"/>
      <c r="F23" s="22"/>
      <c r="I23" s="20">
        <v>21</v>
      </c>
      <c r="J23" s="21" t="s">
        <v>93</v>
      </c>
      <c r="K23" s="21"/>
      <c r="L23" s="43" t="s">
        <v>130</v>
      </c>
      <c r="M23" s="22" t="s">
        <v>6</v>
      </c>
    </row>
    <row r="25" spans="2:14" x14ac:dyDescent="0.15">
      <c r="D25" s="23"/>
    </row>
    <row r="26" spans="2:14" x14ac:dyDescent="0.15">
      <c r="C26" s="24"/>
    </row>
    <row r="30" spans="2:14" x14ac:dyDescent="0.15">
      <c r="M30" t="s">
        <v>115</v>
      </c>
    </row>
    <row r="31" spans="2:14" x14ac:dyDescent="0.15">
      <c r="L31" t="s">
        <v>3</v>
      </c>
      <c r="M31" s="37"/>
      <c r="N31" s="1" t="s">
        <v>3</v>
      </c>
    </row>
    <row r="32" spans="2:14" x14ac:dyDescent="0.15">
      <c r="L32" t="s">
        <v>81</v>
      </c>
      <c r="M32" s="38"/>
      <c r="N32" s="1" t="s">
        <v>44</v>
      </c>
    </row>
    <row r="33" spans="12:14" x14ac:dyDescent="0.15">
      <c r="L33" t="s">
        <v>89</v>
      </c>
      <c r="M33" s="39"/>
      <c r="N33" s="1" t="s">
        <v>113</v>
      </c>
    </row>
    <row r="34" spans="12:14" x14ac:dyDescent="0.15">
      <c r="L34" t="s">
        <v>88</v>
      </c>
      <c r="M34" s="40"/>
      <c r="N34" s="1" t="s">
        <v>114</v>
      </c>
    </row>
    <row r="38" spans="12:14" x14ac:dyDescent="0.15">
      <c r="L38" t="s">
        <v>116</v>
      </c>
    </row>
  </sheetData>
  <mergeCells count="1">
    <mergeCell ref="B1:F1"/>
  </mergeCells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E3BB3-64AB-47EA-BE6E-B1280D7BB1A8}">
  <dimension ref="A2:E20"/>
  <sheetViews>
    <sheetView tabSelected="1" zoomScale="175" zoomScaleNormal="175" workbookViewId="0">
      <selection activeCell="E23" sqref="E23"/>
    </sheetView>
  </sheetViews>
  <sheetFormatPr defaultRowHeight="13.5" x14ac:dyDescent="0.15"/>
  <cols>
    <col min="1" max="1" width="15.625" bestFit="1" customWidth="1"/>
    <col min="2" max="3" width="12.875" bestFit="1" customWidth="1"/>
    <col min="4" max="4" width="9.5" bestFit="1" customWidth="1"/>
  </cols>
  <sheetData>
    <row r="2" spans="1:5" x14ac:dyDescent="0.15">
      <c r="A2" t="s">
        <v>139</v>
      </c>
    </row>
    <row r="3" spans="1:5" x14ac:dyDescent="0.15">
      <c r="B3" s="1" t="s">
        <v>136</v>
      </c>
      <c r="C3" s="1" t="s">
        <v>152</v>
      </c>
      <c r="D3" s="1">
        <v>20</v>
      </c>
      <c r="E3" s="1" t="s">
        <v>145</v>
      </c>
    </row>
    <row r="4" spans="1:5" x14ac:dyDescent="0.15">
      <c r="B4" s="1" t="s">
        <v>137</v>
      </c>
      <c r="C4" s="1" t="s">
        <v>154</v>
      </c>
      <c r="D4" s="51">
        <v>46</v>
      </c>
      <c r="E4" s="1" t="s">
        <v>145</v>
      </c>
    </row>
    <row r="5" spans="1:5" x14ac:dyDescent="0.15">
      <c r="B5" s="1" t="s">
        <v>138</v>
      </c>
      <c r="C5" s="1" t="s">
        <v>159</v>
      </c>
      <c r="D5" s="50">
        <v>800</v>
      </c>
      <c r="E5" s="1" t="s">
        <v>145</v>
      </c>
    </row>
    <row r="6" spans="1:5" x14ac:dyDescent="0.15">
      <c r="B6" s="1" t="s">
        <v>135</v>
      </c>
      <c r="C6" s="1" t="s">
        <v>155</v>
      </c>
      <c r="D6" s="51">
        <v>210</v>
      </c>
      <c r="E6" s="1" t="s">
        <v>145</v>
      </c>
    </row>
    <row r="7" spans="1:5" x14ac:dyDescent="0.15">
      <c r="B7" s="50" t="s">
        <v>148</v>
      </c>
      <c r="C7" s="1"/>
      <c r="D7" s="1">
        <f>SUM(D4:D6)</f>
        <v>1056</v>
      </c>
      <c r="E7" s="50" t="s">
        <v>145</v>
      </c>
    </row>
    <row r="9" spans="1:5" x14ac:dyDescent="0.15">
      <c r="A9" t="s">
        <v>140</v>
      </c>
    </row>
    <row r="10" spans="1:5" x14ac:dyDescent="0.15">
      <c r="B10" s="1" t="s">
        <v>136</v>
      </c>
      <c r="C10" s="1" t="s">
        <v>153</v>
      </c>
      <c r="D10" s="1">
        <v>10</v>
      </c>
      <c r="E10" s="1" t="s">
        <v>144</v>
      </c>
    </row>
    <row r="11" spans="1:5" x14ac:dyDescent="0.15">
      <c r="B11" s="1" t="s">
        <v>137</v>
      </c>
      <c r="C11" s="1" t="s">
        <v>156</v>
      </c>
      <c r="D11" s="51">
        <v>23</v>
      </c>
      <c r="E11" s="1" t="s">
        <v>144</v>
      </c>
    </row>
    <row r="12" spans="1:5" x14ac:dyDescent="0.15">
      <c r="B12" s="1" t="s">
        <v>141</v>
      </c>
      <c r="C12" s="1" t="s">
        <v>158</v>
      </c>
      <c r="D12" s="50">
        <v>480</v>
      </c>
      <c r="E12" s="1" t="s">
        <v>144</v>
      </c>
    </row>
    <row r="13" spans="1:5" x14ac:dyDescent="0.15">
      <c r="B13" s="1" t="s">
        <v>135</v>
      </c>
      <c r="C13" s="1" t="s">
        <v>157</v>
      </c>
      <c r="D13" s="51">
        <v>18</v>
      </c>
      <c r="E13" s="1" t="s">
        <v>144</v>
      </c>
    </row>
    <row r="14" spans="1:5" x14ac:dyDescent="0.15">
      <c r="B14" s="50" t="s">
        <v>148</v>
      </c>
      <c r="C14" s="1"/>
      <c r="D14" s="1">
        <f>SUM(D11:D13)</f>
        <v>521</v>
      </c>
      <c r="E14" s="50" t="s">
        <v>144</v>
      </c>
    </row>
    <row r="16" spans="1:5" x14ac:dyDescent="0.15">
      <c r="A16" t="s">
        <v>149</v>
      </c>
      <c r="B16" s="1"/>
      <c r="C16" s="1"/>
      <c r="D16" s="1">
        <f>D7*D14</f>
        <v>550176</v>
      </c>
      <c r="E16" s="1" t="s">
        <v>150</v>
      </c>
    </row>
    <row r="17" spans="1:5" x14ac:dyDescent="0.15">
      <c r="A17" t="s">
        <v>151</v>
      </c>
      <c r="B17" s="1"/>
      <c r="C17" s="1"/>
      <c r="D17" s="1">
        <f>(D19*1000000)/D16</f>
        <v>59.980806142034552</v>
      </c>
      <c r="E17" s="50" t="s">
        <v>160</v>
      </c>
    </row>
    <row r="19" spans="1:5" x14ac:dyDescent="0.15">
      <c r="A19" t="s">
        <v>142</v>
      </c>
      <c r="B19" s="1"/>
      <c r="C19" s="1"/>
      <c r="D19" s="1">
        <v>33</v>
      </c>
      <c r="E19" s="1" t="s">
        <v>143</v>
      </c>
    </row>
    <row r="20" spans="1:5" x14ac:dyDescent="0.15">
      <c r="A20" t="s">
        <v>146</v>
      </c>
      <c r="B20" s="1"/>
      <c r="C20" s="1"/>
      <c r="D20" s="1">
        <v>60</v>
      </c>
      <c r="E20" s="1" t="s">
        <v>147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TangNano20K(LCD Controller)</vt:lpstr>
      <vt:lpstr>RasPiPico2W</vt:lpstr>
      <vt:lpstr>DisplaySignal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2026-01-11T21:40:52Z</dcterms:created>
  <dcterms:modified xsi:type="dcterms:W3CDTF">2026-05-30T13:25:52Z</dcterms:modified>
</cp:coreProperties>
</file>